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C USER\Desktop\New folder\"/>
    </mc:Choice>
  </mc:AlternateContent>
  <bookViews>
    <workbookView xWindow="0" yWindow="0" windowWidth="20490" windowHeight="7635" activeTab="5"/>
  </bookViews>
  <sheets>
    <sheet name="sales" sheetId="1" r:id="rId1"/>
    <sheet name="purchase" sheetId="2" r:id="rId2"/>
    <sheet name="credit note" sheetId="3" r:id="rId3"/>
    <sheet name="debit note" sheetId="4" r:id="rId4"/>
    <sheet name="receipt" sheetId="5" r:id="rId5"/>
    <sheet name="payment" sheetId="6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4" l="1"/>
  <c r="U2" i="4" s="1"/>
  <c r="S2" i="4"/>
  <c r="R2" i="4"/>
  <c r="T2" i="3"/>
  <c r="U2" i="3" s="1"/>
  <c r="S2" i="3"/>
  <c r="R2" i="3"/>
  <c r="T2" i="2"/>
  <c r="U2" i="2" s="1"/>
  <c r="S2" i="2"/>
  <c r="R2" i="2"/>
  <c r="T2" i="1"/>
  <c r="U2" i="1" s="1"/>
  <c r="S2" i="1"/>
  <c r="R2" i="1"/>
</calcChain>
</file>

<file path=xl/sharedStrings.xml><?xml version="1.0" encoding="utf-8"?>
<sst xmlns="http://schemas.openxmlformats.org/spreadsheetml/2006/main" count="178" uniqueCount="58">
  <si>
    <t>Date</t>
  </si>
  <si>
    <t>Invoice No./Txn No.</t>
  </si>
  <si>
    <t>Party Name</t>
  </si>
  <si>
    <t>Item Name</t>
  </si>
  <si>
    <t>Item Code</t>
  </si>
  <si>
    <t>HSN/SAC</t>
  </si>
  <si>
    <t>LOCATION</t>
  </si>
  <si>
    <t>Category</t>
  </si>
  <si>
    <t>Description</t>
  </si>
  <si>
    <t>Challan/Order No.</t>
  </si>
  <si>
    <t>Quantity</t>
  </si>
  <si>
    <t>Unit</t>
  </si>
  <si>
    <t>UnitPrice</t>
  </si>
  <si>
    <t>Tax Percent</t>
  </si>
  <si>
    <t>Tax</t>
  </si>
  <si>
    <t>Transaction Type</t>
  </si>
  <si>
    <t>Amount</t>
  </si>
  <si>
    <t>cgst</t>
  </si>
  <si>
    <t>sgst</t>
  </si>
  <si>
    <t>taxable amount</t>
  </si>
  <si>
    <t>net amount</t>
  </si>
  <si>
    <t>01/04/2025</t>
  </si>
  <si>
    <t>VVASLM2526-1</t>
  </si>
  <si>
    <t>M.M.MOTORS-Salem</t>
  </si>
  <si>
    <t/>
  </si>
  <si>
    <t>SPARES</t>
  </si>
  <si>
    <t xml:space="preserve">WATER PUMP WITH O RING   BSIII </t>
  </si>
  <si>
    <t>Nos</t>
  </si>
  <si>
    <t xml:space="preserve">Sale </t>
  </si>
  <si>
    <t>sales ledger</t>
  </si>
  <si>
    <t>sales 18%</t>
  </si>
  <si>
    <t>purchase ledger</t>
  </si>
  <si>
    <t>purchase 18%</t>
  </si>
  <si>
    <t>credit note ledger</t>
  </si>
  <si>
    <t>sales return</t>
  </si>
  <si>
    <t>debit note ledger</t>
  </si>
  <si>
    <t>purchase return</t>
  </si>
  <si>
    <t>Reference No</t>
  </si>
  <si>
    <t>Category Name</t>
  </si>
  <si>
    <t>Type</t>
  </si>
  <si>
    <t>Total</t>
  </si>
  <si>
    <t>Payment Type</t>
  </si>
  <si>
    <t>Paid</t>
  </si>
  <si>
    <t>Received</t>
  </si>
  <si>
    <t>Balance</t>
  </si>
  <si>
    <t>Due Date</t>
  </si>
  <si>
    <t>Status</t>
  </si>
  <si>
    <t>VVASLM2526-PI-1</t>
  </si>
  <si>
    <t>SAKTHI DIESEL-t code</t>
  </si>
  <si>
    <t>HDFC Bank (0000509173667871/0000509124755726)</t>
  </si>
  <si>
    <t>Used</t>
  </si>
  <si>
    <t xml:space="preserve">UPI-920010042072133-PRAVINDEEPAK.R@OKAXIS-509173667871-UPI
UPI-920010042072133-PRAVINDEEPAK.R@OKAXIS-509124755726-UPI
</t>
  </si>
  <si>
    <t>receipt</t>
  </si>
  <si>
    <t>02/04/2025</t>
  </si>
  <si>
    <t>AMMAN AGENCIES-Namakkal</t>
  </si>
  <si>
    <t>HDFC Bank (HDFCN52025040254152152)</t>
  </si>
  <si>
    <t>NEFT Dr-CIUB0000159-AMMAN AGENCIES-NETBANK, MUM-HDFCN52025040254152152-Return amount
Ref Num: HDFCN52025040254152152</t>
  </si>
  <si>
    <t>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</si>
</sst>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"/>
  <sheetViews>
    <sheetView workbookViewId="0">
      <selection activeCell="V1" sqref="A1:V2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s="1" t="s">
        <v>18</v>
      </c>
      <c r="T1" t="s">
        <v>19</v>
      </c>
      <c r="U1" t="s">
        <v>20</v>
      </c>
      <c r="V1" t="s">
        <v>29</v>
      </c>
    </row>
    <row r="2" spans="1:22" x14ac:dyDescent="0.25">
      <c r="A2" t="s">
        <v>21</v>
      </c>
      <c r="B2" t="s">
        <v>22</v>
      </c>
      <c r="C2" t="s">
        <v>23</v>
      </c>
      <c r="D2" s="2">
        <v>3238366</v>
      </c>
      <c r="F2">
        <v>84133030</v>
      </c>
      <c r="G2" t="s">
        <v>24</v>
      </c>
      <c r="H2" t="s">
        <v>25</v>
      </c>
      <c r="I2" t="s">
        <v>26</v>
      </c>
      <c r="J2" t="s">
        <v>24</v>
      </c>
      <c r="K2">
        <v>1</v>
      </c>
      <c r="L2" t="s">
        <v>27</v>
      </c>
      <c r="M2">
        <v>2296.29</v>
      </c>
      <c r="N2">
        <v>28</v>
      </c>
      <c r="O2">
        <v>642.96</v>
      </c>
      <c r="P2" t="s">
        <v>28</v>
      </c>
      <c r="Q2">
        <v>2939.25</v>
      </c>
      <c r="R2" s="1">
        <f>(O2/2)</f>
        <v>321.48</v>
      </c>
      <c r="S2" s="1">
        <f>(O2/2)</f>
        <v>321.48</v>
      </c>
      <c r="T2">
        <f>(K2*M2)</f>
        <v>2296.29</v>
      </c>
      <c r="U2">
        <f>(T2+S2+R2)</f>
        <v>2939.25</v>
      </c>
      <c r="V2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"/>
  <sheetViews>
    <sheetView topLeftCell="G1" workbookViewId="0">
      <selection activeCell="W6" sqref="W6"/>
    </sheetView>
  </sheetViews>
  <sheetFormatPr defaultRowHeight="15" x14ac:dyDescent="0.25"/>
  <cols>
    <col min="23" max="23" width="15.28515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s="1" t="s">
        <v>18</v>
      </c>
      <c r="T1" t="s">
        <v>19</v>
      </c>
      <c r="U1" t="s">
        <v>20</v>
      </c>
      <c r="V1" t="s">
        <v>29</v>
      </c>
      <c r="W1" t="s">
        <v>31</v>
      </c>
    </row>
    <row r="2" spans="1:23" x14ac:dyDescent="0.25">
      <c r="A2" t="s">
        <v>21</v>
      </c>
      <c r="B2" t="s">
        <v>22</v>
      </c>
      <c r="C2" t="s">
        <v>23</v>
      </c>
      <c r="D2" s="2">
        <v>3238366</v>
      </c>
      <c r="F2">
        <v>84133030</v>
      </c>
      <c r="G2" t="s">
        <v>24</v>
      </c>
      <c r="H2" t="s">
        <v>25</v>
      </c>
      <c r="I2" t="s">
        <v>26</v>
      </c>
      <c r="J2" t="s">
        <v>24</v>
      </c>
      <c r="K2">
        <v>1</v>
      </c>
      <c r="L2" t="s">
        <v>27</v>
      </c>
      <c r="M2">
        <v>2296.29</v>
      </c>
      <c r="N2">
        <v>28</v>
      </c>
      <c r="O2">
        <v>642.96</v>
      </c>
      <c r="P2" t="s">
        <v>28</v>
      </c>
      <c r="Q2">
        <v>2939.25</v>
      </c>
      <c r="R2" s="1">
        <f>(O2/2)</f>
        <v>321.48</v>
      </c>
      <c r="S2" s="1">
        <f>(O2/2)</f>
        <v>321.48</v>
      </c>
      <c r="T2">
        <f>(K2*M2)</f>
        <v>2296.29</v>
      </c>
      <c r="U2">
        <f>(T2+S2+R2)</f>
        <v>2939.25</v>
      </c>
      <c r="V2" t="s">
        <v>30</v>
      </c>
      <c r="W2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"/>
  <sheetViews>
    <sheetView topLeftCell="E1" workbookViewId="0">
      <selection activeCell="V6" sqref="V6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s="1" t="s">
        <v>18</v>
      </c>
      <c r="T1" t="s">
        <v>19</v>
      </c>
      <c r="U1" t="s">
        <v>20</v>
      </c>
      <c r="V1" t="s">
        <v>33</v>
      </c>
    </row>
    <row r="2" spans="1:22" x14ac:dyDescent="0.25">
      <c r="A2" t="s">
        <v>21</v>
      </c>
      <c r="B2" t="s">
        <v>22</v>
      </c>
      <c r="C2" t="s">
        <v>23</v>
      </c>
      <c r="D2" s="2">
        <v>3238366</v>
      </c>
      <c r="F2">
        <v>84133030</v>
      </c>
      <c r="G2" t="s">
        <v>24</v>
      </c>
      <c r="H2" t="s">
        <v>25</v>
      </c>
      <c r="I2" t="s">
        <v>26</v>
      </c>
      <c r="J2" t="s">
        <v>24</v>
      </c>
      <c r="K2">
        <v>1</v>
      </c>
      <c r="L2" t="s">
        <v>27</v>
      </c>
      <c r="M2">
        <v>2296.29</v>
      </c>
      <c r="N2">
        <v>28</v>
      </c>
      <c r="O2">
        <v>642.96</v>
      </c>
      <c r="P2" t="s">
        <v>28</v>
      </c>
      <c r="Q2">
        <v>2939.25</v>
      </c>
      <c r="R2" s="1">
        <f>(O2/2)</f>
        <v>321.48</v>
      </c>
      <c r="S2" s="1">
        <f>(O2/2)</f>
        <v>321.48</v>
      </c>
      <c r="T2">
        <f>(K2*M2)</f>
        <v>2296.29</v>
      </c>
      <c r="U2">
        <f>(T2+S2+R2)</f>
        <v>2939.25</v>
      </c>
      <c r="V2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"/>
  <sheetViews>
    <sheetView topLeftCell="D1" workbookViewId="0">
      <selection activeCell="V3" sqref="V3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s="1" t="s">
        <v>18</v>
      </c>
      <c r="T1" t="s">
        <v>19</v>
      </c>
      <c r="U1" t="s">
        <v>20</v>
      </c>
      <c r="V1" t="s">
        <v>35</v>
      </c>
    </row>
    <row r="2" spans="1:22" x14ac:dyDescent="0.25">
      <c r="A2" t="s">
        <v>21</v>
      </c>
      <c r="B2" t="s">
        <v>22</v>
      </c>
      <c r="C2" t="s">
        <v>23</v>
      </c>
      <c r="D2" s="2">
        <v>3238366</v>
      </c>
      <c r="F2">
        <v>84133030</v>
      </c>
      <c r="G2" t="s">
        <v>24</v>
      </c>
      <c r="H2" t="s">
        <v>25</v>
      </c>
      <c r="I2" t="s">
        <v>26</v>
      </c>
      <c r="J2" t="s">
        <v>24</v>
      </c>
      <c r="K2">
        <v>1</v>
      </c>
      <c r="L2" t="s">
        <v>27</v>
      </c>
      <c r="M2">
        <v>2296.29</v>
      </c>
      <c r="N2">
        <v>28</v>
      </c>
      <c r="O2">
        <v>642.96</v>
      </c>
      <c r="P2" t="s">
        <v>28</v>
      </c>
      <c r="Q2">
        <v>2939.25</v>
      </c>
      <c r="R2" s="1">
        <f>(O2/2)</f>
        <v>321.48</v>
      </c>
      <c r="S2" s="1">
        <f>(O2/2)</f>
        <v>321.48</v>
      </c>
      <c r="T2">
        <f>(K2*M2)</f>
        <v>2296.29</v>
      </c>
      <c r="U2">
        <f>(T2+S2+R2)</f>
        <v>2939.25</v>
      </c>
      <c r="V2" t="s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F6" sqref="F6"/>
    </sheetView>
  </sheetViews>
  <sheetFormatPr defaultRowHeight="15" x14ac:dyDescent="0.25"/>
  <cols>
    <col min="3" max="3" width="19.85546875" bestFit="1" customWidth="1"/>
    <col min="7" max="7" width="19.5703125" customWidth="1"/>
  </cols>
  <sheetData>
    <row r="1" spans="1:13" x14ac:dyDescent="0.25">
      <c r="A1" t="s">
        <v>0</v>
      </c>
      <c r="B1" t="s">
        <v>37</v>
      </c>
      <c r="C1" t="s">
        <v>2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8</v>
      </c>
    </row>
    <row r="2" spans="1:13" x14ac:dyDescent="0.25">
      <c r="A2" t="s">
        <v>21</v>
      </c>
      <c r="B2" t="s">
        <v>47</v>
      </c>
      <c r="C2" t="s">
        <v>48</v>
      </c>
      <c r="D2" t="s">
        <v>24</v>
      </c>
      <c r="E2" t="s">
        <v>52</v>
      </c>
      <c r="F2">
        <v>23768</v>
      </c>
      <c r="G2" t="s">
        <v>49</v>
      </c>
      <c r="H2" t="s">
        <v>24</v>
      </c>
      <c r="I2">
        <v>23768</v>
      </c>
      <c r="J2" t="s">
        <v>24</v>
      </c>
      <c r="K2" t="s">
        <v>24</v>
      </c>
      <c r="L2" t="s">
        <v>50</v>
      </c>
      <c r="M2" t="s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tabSelected="1" workbookViewId="0">
      <selection activeCell="F8" sqref="F8"/>
    </sheetView>
  </sheetViews>
  <sheetFormatPr defaultRowHeight="15" x14ac:dyDescent="0.25"/>
  <sheetData>
    <row r="1" spans="1:13" x14ac:dyDescent="0.25">
      <c r="A1" t="s">
        <v>0</v>
      </c>
      <c r="B1" t="s">
        <v>37</v>
      </c>
      <c r="C1" t="s">
        <v>2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8</v>
      </c>
    </row>
    <row r="2" spans="1:13" x14ac:dyDescent="0.25">
      <c r="A2" t="s">
        <v>53</v>
      </c>
      <c r="B2" t="s">
        <v>24</v>
      </c>
      <c r="C2" t="s">
        <v>54</v>
      </c>
      <c r="D2" t="s">
        <v>24</v>
      </c>
      <c r="E2" t="s">
        <v>57</v>
      </c>
      <c r="F2">
        <v>31500</v>
      </c>
      <c r="G2" t="s">
        <v>55</v>
      </c>
      <c r="H2">
        <v>31500</v>
      </c>
      <c r="I2" t="s">
        <v>24</v>
      </c>
      <c r="J2" t="s">
        <v>24</v>
      </c>
      <c r="K2" t="s">
        <v>24</v>
      </c>
      <c r="L2" t="s">
        <v>50</v>
      </c>
      <c r="M2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</vt:lpstr>
      <vt:lpstr>purchase</vt:lpstr>
      <vt:lpstr>credit note</vt:lpstr>
      <vt:lpstr>debit note</vt:lpstr>
      <vt:lpstr>receipt</vt:lpstr>
      <vt:lpstr>payment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 USER</dc:creator>
  <cp:lastModifiedBy>MC USER</cp:lastModifiedBy>
  <dcterms:created xsi:type="dcterms:W3CDTF">2026-06-12T11:44:38Z</dcterms:created>
  <dcterms:modified xsi:type="dcterms:W3CDTF">2026-06-12T11:57:57Z</dcterms:modified>
</cp:coreProperties>
</file>