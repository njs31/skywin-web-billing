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0" activeTab="5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" sheetId="2" state="visible" r:id="rId2"/>
    <sheet xmlns:r="http://schemas.openxmlformats.org/officeDocument/2006/relationships" name="credit note" sheetId="3" state="visible" r:id="rId3"/>
    <sheet xmlns:r="http://schemas.openxmlformats.org/officeDocument/2006/relationships" name="debit note" sheetId="4" state="visible" r:id="rId4"/>
    <sheet xmlns:r="http://schemas.openxmlformats.org/officeDocument/2006/relationships" name="receipt" sheetId="5" state="visible" r:id="rId5"/>
    <sheet xmlns:r="http://schemas.openxmlformats.org/officeDocument/2006/relationships" name="payment" sheetId="6" state="visible" r:id="rId6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V1" sqref="A1:V2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No./Txn No.</t>
        </is>
      </c>
      <c r="C1" t="inlineStr">
        <is>
          <t>Party Name</t>
        </is>
      </c>
      <c r="D1" t="inlineStr">
        <is>
          <t>Item Name</t>
        </is>
      </c>
      <c r="E1" t="inlineStr">
        <is>
          <t>Item Code</t>
        </is>
      </c>
      <c r="F1" t="inlineStr">
        <is>
          <t>HSN/SAC</t>
        </is>
      </c>
      <c r="G1" t="inlineStr">
        <is>
          <t>LOCATION</t>
        </is>
      </c>
      <c r="H1" t="inlineStr">
        <is>
          <t>Category</t>
        </is>
      </c>
      <c r="I1" t="inlineStr">
        <is>
          <t>Description</t>
        </is>
      </c>
      <c r="J1" t="inlineStr">
        <is>
          <t>Challan/Order No.</t>
        </is>
      </c>
      <c r="K1" t="inlineStr">
        <is>
          <t>Quantity</t>
        </is>
      </c>
      <c r="L1" t="inlineStr">
        <is>
          <t>Unit</t>
        </is>
      </c>
      <c r="M1" t="inlineStr">
        <is>
          <t>UnitPrice</t>
        </is>
      </c>
      <c r="N1" t="inlineStr">
        <is>
          <t>Tax Percent</t>
        </is>
      </c>
      <c r="O1" t="inlineStr">
        <is>
          <t>Tax</t>
        </is>
      </c>
      <c r="P1" t="inlineStr">
        <is>
          <t>Transaction Type</t>
        </is>
      </c>
      <c r="Q1" t="inlineStr">
        <is>
          <t>Amount</t>
        </is>
      </c>
      <c r="R1" s="1" t="inlineStr">
        <is>
          <t>cgst</t>
        </is>
      </c>
      <c r="S1" s="1" t="inlineStr">
        <is>
          <t>sgst</t>
        </is>
      </c>
      <c r="T1" t="inlineStr">
        <is>
          <t>net amount</t>
        </is>
      </c>
      <c r="U1" t="inlineStr">
        <is>
          <t>sales ledger</t>
        </is>
      </c>
    </row>
    <row r="2">
      <c r="A2" t="inlineStr">
        <is>
          <t>01/04/2025</t>
        </is>
      </c>
      <c r="B2" t="inlineStr">
        <is>
          <t>VVASLM2526-1</t>
        </is>
      </c>
      <c r="C2" t="inlineStr">
        <is>
          <t>M.M.MOTORS-Salem</t>
        </is>
      </c>
      <c r="D2" s="2" t="n">
        <v>3238366</v>
      </c>
      <c r="F2" t="n">
        <v>84133030</v>
      </c>
      <c r="G2" t="inlineStr"/>
      <c r="H2" t="inlineStr">
        <is>
          <t>SPARES</t>
        </is>
      </c>
      <c r="I2" t="inlineStr">
        <is>
          <t xml:space="preserve">WATER PUMP WITH O RING   BSIII </t>
        </is>
      </c>
      <c r="J2" t="inlineStr"/>
      <c r="K2" t="n">
        <v>1</v>
      </c>
      <c r="L2" t="inlineStr">
        <is>
          <t>Nos</t>
        </is>
      </c>
      <c r="M2" t="n">
        <v>2296.29</v>
      </c>
      <c r="N2" t="n">
        <v>28</v>
      </c>
      <c r="O2" t="n">
        <v>642.96</v>
      </c>
      <c r="P2" t="inlineStr">
        <is>
          <t xml:space="preserve">Sale </t>
        </is>
      </c>
      <c r="Q2" t="n">
        <v>2939.25</v>
      </c>
      <c r="R2" s="1">
        <f>(O2/2)</f>
        <v/>
      </c>
      <c r="S2" s="1">
        <f>(O2/2)</f>
        <v/>
      </c>
      <c r="T2">
        <f>(T2+S2+R2)</f>
        <v/>
      </c>
      <c r="U2" t="inlineStr">
        <is>
          <t>sales 18%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topLeftCell="G1" workbookViewId="0">
      <selection activeCell="W6" sqref="W6"/>
    </sheetView>
  </sheetViews>
  <sheetFormatPr baseColWidth="8" defaultRowHeight="15"/>
  <cols>
    <col width="15.28515625" bestFit="1" customWidth="1" min="23" max="23"/>
  </cols>
  <sheetData>
    <row r="1">
      <c r="A1" t="inlineStr">
        <is>
          <t>Date</t>
        </is>
      </c>
      <c r="B1" t="inlineStr">
        <is>
          <t>Invoice No./Txn No.</t>
        </is>
      </c>
      <c r="C1" t="inlineStr">
        <is>
          <t>Party Name</t>
        </is>
      </c>
      <c r="D1" t="inlineStr">
        <is>
          <t>Item Name</t>
        </is>
      </c>
      <c r="E1" t="inlineStr">
        <is>
          <t>Item Code</t>
        </is>
      </c>
      <c r="F1" t="inlineStr">
        <is>
          <t>HSN/SAC</t>
        </is>
      </c>
      <c r="G1" t="inlineStr">
        <is>
          <t>LOCATION</t>
        </is>
      </c>
      <c r="H1" t="inlineStr">
        <is>
          <t>Category</t>
        </is>
      </c>
      <c r="I1" t="inlineStr">
        <is>
          <t>Description</t>
        </is>
      </c>
      <c r="J1" t="inlineStr">
        <is>
          <t>Challan/Order No.</t>
        </is>
      </c>
      <c r="K1" t="inlineStr">
        <is>
          <t>Quantity</t>
        </is>
      </c>
      <c r="L1" t="inlineStr">
        <is>
          <t>Unit</t>
        </is>
      </c>
      <c r="M1" t="inlineStr">
        <is>
          <t>UnitPrice</t>
        </is>
      </c>
      <c r="N1" t="inlineStr">
        <is>
          <t>Tax Percent</t>
        </is>
      </c>
      <c r="O1" t="inlineStr">
        <is>
          <t>Tax</t>
        </is>
      </c>
      <c r="P1" t="inlineStr">
        <is>
          <t>Transaction Type</t>
        </is>
      </c>
      <c r="Q1" t="inlineStr">
        <is>
          <t>Amount</t>
        </is>
      </c>
      <c r="R1" s="1" t="inlineStr">
        <is>
          <t>cgst</t>
        </is>
      </c>
      <c r="S1" s="1" t="inlineStr">
        <is>
          <t>sgst</t>
        </is>
      </c>
      <c r="T1" t="inlineStr">
        <is>
          <t>net amount</t>
        </is>
      </c>
      <c r="U1" t="inlineStr">
        <is>
          <t>sales ledger</t>
        </is>
      </c>
      <c r="V1" t="inlineStr">
        <is>
          <t>purchase ledger</t>
        </is>
      </c>
    </row>
    <row r="2">
      <c r="A2" t="inlineStr">
        <is>
          <t>01/04/2025</t>
        </is>
      </c>
      <c r="B2" t="inlineStr">
        <is>
          <t>VVASLM2526-1</t>
        </is>
      </c>
      <c r="C2" t="inlineStr">
        <is>
          <t>M.M.MOTORS-Salem</t>
        </is>
      </c>
      <c r="D2" s="2" t="n">
        <v>3238366</v>
      </c>
      <c r="F2" t="n">
        <v>84133030</v>
      </c>
      <c r="G2" t="inlineStr"/>
      <c r="H2" t="inlineStr">
        <is>
          <t>SPARES</t>
        </is>
      </c>
      <c r="I2" t="inlineStr">
        <is>
          <t xml:space="preserve">WATER PUMP WITH O RING   BSIII </t>
        </is>
      </c>
      <c r="J2" t="inlineStr"/>
      <c r="K2" t="n">
        <v>1</v>
      </c>
      <c r="L2" t="inlineStr">
        <is>
          <t>Nos</t>
        </is>
      </c>
      <c r="M2" t="n">
        <v>2296.29</v>
      </c>
      <c r="N2" t="n">
        <v>28</v>
      </c>
      <c r="O2" t="n">
        <v>642.96</v>
      </c>
      <c r="P2" t="inlineStr">
        <is>
          <t xml:space="preserve">Sale </t>
        </is>
      </c>
      <c r="Q2" t="n">
        <v>2939.25</v>
      </c>
      <c r="R2" s="1">
        <f>(O2/2)</f>
        <v/>
      </c>
      <c r="S2" s="1">
        <f>(O2/2)</f>
        <v/>
      </c>
      <c r="T2">
        <f>(T2+S2+R2)</f>
        <v/>
      </c>
      <c r="U2" t="inlineStr">
        <is>
          <t>sales 18%</t>
        </is>
      </c>
      <c r="V2" t="inlineStr">
        <is>
          <t>purchase 18%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E1" workbookViewId="0">
      <selection activeCell="V6" sqref="V6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No./Txn No.</t>
        </is>
      </c>
      <c r="C1" t="inlineStr">
        <is>
          <t>Party Name</t>
        </is>
      </c>
      <c r="D1" t="inlineStr">
        <is>
          <t>Item Name</t>
        </is>
      </c>
      <c r="E1" t="inlineStr">
        <is>
          <t>Item Code</t>
        </is>
      </c>
      <c r="F1" t="inlineStr">
        <is>
          <t>HSN/SAC</t>
        </is>
      </c>
      <c r="G1" t="inlineStr">
        <is>
          <t>LOCATION</t>
        </is>
      </c>
      <c r="H1" t="inlineStr">
        <is>
          <t>Category</t>
        </is>
      </c>
      <c r="I1" t="inlineStr">
        <is>
          <t>Description</t>
        </is>
      </c>
      <c r="J1" t="inlineStr">
        <is>
          <t>Challan/Order No.</t>
        </is>
      </c>
      <c r="K1" t="inlineStr">
        <is>
          <t>Quantity</t>
        </is>
      </c>
      <c r="L1" t="inlineStr">
        <is>
          <t>Unit</t>
        </is>
      </c>
      <c r="M1" t="inlineStr">
        <is>
          <t>UnitPrice</t>
        </is>
      </c>
      <c r="N1" t="inlineStr">
        <is>
          <t>Tax Percent</t>
        </is>
      </c>
      <c r="O1" t="inlineStr">
        <is>
          <t>Tax</t>
        </is>
      </c>
      <c r="P1" t="inlineStr">
        <is>
          <t>Transaction Type</t>
        </is>
      </c>
      <c r="Q1" t="inlineStr">
        <is>
          <t>Amount</t>
        </is>
      </c>
      <c r="R1" s="1" t="inlineStr">
        <is>
          <t>cgst</t>
        </is>
      </c>
      <c r="S1" s="1" t="inlineStr">
        <is>
          <t>sgst</t>
        </is>
      </c>
      <c r="T1" t="inlineStr">
        <is>
          <t>net amount</t>
        </is>
      </c>
      <c r="U1" t="inlineStr">
        <is>
          <t>credit note ledger</t>
        </is>
      </c>
    </row>
    <row r="2">
      <c r="A2" t="inlineStr">
        <is>
          <t>01/04/2025</t>
        </is>
      </c>
      <c r="B2" t="inlineStr">
        <is>
          <t>VVASLM2526-1</t>
        </is>
      </c>
      <c r="C2" t="inlineStr">
        <is>
          <t>M.M.MOTORS-Salem</t>
        </is>
      </c>
      <c r="D2" s="2" t="n">
        <v>3238366</v>
      </c>
      <c r="F2" t="n">
        <v>84133030</v>
      </c>
      <c r="G2" t="inlineStr"/>
      <c r="H2" t="inlineStr">
        <is>
          <t>SPARES</t>
        </is>
      </c>
      <c r="I2" t="inlineStr">
        <is>
          <t xml:space="preserve">WATER PUMP WITH O RING   BSIII </t>
        </is>
      </c>
      <c r="J2" t="inlineStr"/>
      <c r="K2" t="n">
        <v>1</v>
      </c>
      <c r="L2" t="inlineStr">
        <is>
          <t>Nos</t>
        </is>
      </c>
      <c r="M2" t="n">
        <v>2296.29</v>
      </c>
      <c r="N2" t="n">
        <v>28</v>
      </c>
      <c r="O2" t="n">
        <v>642.96</v>
      </c>
      <c r="P2" t="inlineStr">
        <is>
          <t xml:space="preserve">Sale </t>
        </is>
      </c>
      <c r="Q2" t="n">
        <v>2939.25</v>
      </c>
      <c r="R2" s="1">
        <f>(O2/2)</f>
        <v/>
      </c>
      <c r="S2" s="1">
        <f>(O2/2)</f>
        <v/>
      </c>
      <c r="T2">
        <f>(T2+S2+R2)</f>
        <v/>
      </c>
      <c r="U2" t="inlineStr">
        <is>
          <t>sales return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D1" workbookViewId="0">
      <selection activeCell="V3" sqref="V3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No./Txn No.</t>
        </is>
      </c>
      <c r="C1" t="inlineStr">
        <is>
          <t>Party Name</t>
        </is>
      </c>
      <c r="D1" t="inlineStr">
        <is>
          <t>Item Name</t>
        </is>
      </c>
      <c r="E1" t="inlineStr">
        <is>
          <t>Item Code</t>
        </is>
      </c>
      <c r="F1" t="inlineStr">
        <is>
          <t>HSN/SAC</t>
        </is>
      </c>
      <c r="G1" t="inlineStr">
        <is>
          <t>LOCATION</t>
        </is>
      </c>
      <c r="H1" t="inlineStr">
        <is>
          <t>Category</t>
        </is>
      </c>
      <c r="I1" t="inlineStr">
        <is>
          <t>Description</t>
        </is>
      </c>
      <c r="J1" t="inlineStr">
        <is>
          <t>Challan/Order No.</t>
        </is>
      </c>
      <c r="K1" t="inlineStr">
        <is>
          <t>Quantity</t>
        </is>
      </c>
      <c r="L1" t="inlineStr">
        <is>
          <t>Unit</t>
        </is>
      </c>
      <c r="M1" t="inlineStr">
        <is>
          <t>UnitPrice</t>
        </is>
      </c>
      <c r="N1" t="inlineStr">
        <is>
          <t>Tax Percent</t>
        </is>
      </c>
      <c r="O1" t="inlineStr">
        <is>
          <t>Tax</t>
        </is>
      </c>
      <c r="P1" t="inlineStr">
        <is>
          <t>Transaction Type</t>
        </is>
      </c>
      <c r="Q1" t="inlineStr">
        <is>
          <t>Amount</t>
        </is>
      </c>
      <c r="R1" s="1" t="inlineStr">
        <is>
          <t>cgst</t>
        </is>
      </c>
      <c r="S1" s="1" t="inlineStr">
        <is>
          <t>sgst</t>
        </is>
      </c>
      <c r="T1" t="inlineStr">
        <is>
          <t>net amount</t>
        </is>
      </c>
      <c r="U1" t="inlineStr">
        <is>
          <t>debit note ledger</t>
        </is>
      </c>
    </row>
    <row r="2">
      <c r="A2" t="inlineStr">
        <is>
          <t>01/04/2025</t>
        </is>
      </c>
      <c r="B2" t="inlineStr">
        <is>
          <t>VVASLM2526-1</t>
        </is>
      </c>
      <c r="C2" t="inlineStr">
        <is>
          <t>M.M.MOTORS-Salem</t>
        </is>
      </c>
      <c r="D2" s="2" t="n">
        <v>3238366</v>
      </c>
      <c r="F2" t="n">
        <v>84133030</v>
      </c>
      <c r="G2" t="inlineStr"/>
      <c r="H2" t="inlineStr">
        <is>
          <t>SPARES</t>
        </is>
      </c>
      <c r="I2" t="inlineStr">
        <is>
          <t xml:space="preserve">WATER PUMP WITH O RING   BSIII </t>
        </is>
      </c>
      <c r="J2" t="inlineStr"/>
      <c r="K2" t="n">
        <v>1</v>
      </c>
      <c r="L2" t="inlineStr">
        <is>
          <t>Nos</t>
        </is>
      </c>
      <c r="M2" t="n">
        <v>2296.29</v>
      </c>
      <c r="N2" t="n">
        <v>28</v>
      </c>
      <c r="O2" t="n">
        <v>642.96</v>
      </c>
      <c r="P2" t="inlineStr">
        <is>
          <t xml:space="preserve">Sale </t>
        </is>
      </c>
      <c r="Q2" t="n">
        <v>2939.25</v>
      </c>
      <c r="R2" s="1">
        <f>(O2/2)</f>
        <v/>
      </c>
      <c r="S2" s="1">
        <f>(O2/2)</f>
        <v/>
      </c>
      <c r="T2">
        <f>(T2+S2+R2)</f>
        <v/>
      </c>
      <c r="U2" t="inlineStr">
        <is>
          <t>purchase return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F6" sqref="F6"/>
    </sheetView>
  </sheetViews>
  <sheetFormatPr baseColWidth="8" defaultRowHeight="15"/>
  <cols>
    <col width="19.85546875" bestFit="1" customWidth="1" min="3" max="3"/>
    <col width="19.5703125" customWidth="1" min="7" max="7"/>
  </cols>
  <sheetData>
    <row r="1">
      <c r="A1" t="inlineStr">
        <is>
          <t>Date</t>
        </is>
      </c>
      <c r="B1" t="inlineStr">
        <is>
          <t>Reference No</t>
        </is>
      </c>
      <c r="C1" t="inlineStr">
        <is>
          <t>Party Name</t>
        </is>
      </c>
      <c r="D1" t="inlineStr">
        <is>
          <t>Category Name</t>
        </is>
      </c>
      <c r="E1" t="inlineStr">
        <is>
          <t>Type</t>
        </is>
      </c>
      <c r="F1" t="inlineStr">
        <is>
          <t>Total</t>
        </is>
      </c>
      <c r="G1" t="inlineStr">
        <is>
          <t>Payment Type</t>
        </is>
      </c>
      <c r="H1" t="inlineStr">
        <is>
          <t>Paid</t>
        </is>
      </c>
      <c r="I1" t="inlineStr">
        <is>
          <t>Received</t>
        </is>
      </c>
      <c r="J1" t="inlineStr">
        <is>
          <t>Balance</t>
        </is>
      </c>
      <c r="K1" t="inlineStr">
        <is>
          <t>Due Date</t>
        </is>
      </c>
      <c r="L1" t="inlineStr">
        <is>
          <t>Status</t>
        </is>
      </c>
      <c r="M1" t="inlineStr">
        <is>
          <t>Description</t>
        </is>
      </c>
    </row>
    <row r="2">
      <c r="A2" t="inlineStr">
        <is>
          <t>01/04/2025</t>
        </is>
      </c>
      <c r="B2" t="inlineStr">
        <is>
          <t>VVASLM2526-PI-1</t>
        </is>
      </c>
      <c r="C2" t="inlineStr">
        <is>
          <t>SAKTHI DIESEL-t code</t>
        </is>
      </c>
      <c r="D2" t="inlineStr"/>
      <c r="E2" t="inlineStr">
        <is>
          <t>receipt</t>
        </is>
      </c>
      <c r="F2" t="n">
        <v>23768</v>
      </c>
      <c r="G2" t="inlineStr">
        <is>
          <t>HDFC Bank (0000509173667871/0000509124755726)</t>
        </is>
      </c>
      <c r="H2" t="inlineStr"/>
      <c r="I2" t="n">
        <v>23768</v>
      </c>
      <c r="J2" t="inlineStr"/>
      <c r="K2" t="inlineStr"/>
      <c r="L2" t="inlineStr">
        <is>
          <t>Used</t>
        </is>
      </c>
      <c r="M2" t="inlineStr">
        <is>
          <t xml:space="preserve">UPI-920010042072133-PRAVINDEEPAK.R@OKAXIS-509173667871-UPI
UPI-920010042072133-PRAVINDEEPAK.R@OKAXIS-509124755726-UPI
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 No</t>
        </is>
      </c>
      <c r="C1" t="inlineStr">
        <is>
          <t>Party Name</t>
        </is>
      </c>
      <c r="D1" t="inlineStr">
        <is>
          <t>Category Name</t>
        </is>
      </c>
      <c r="E1" t="inlineStr">
        <is>
          <t>Type</t>
        </is>
      </c>
      <c r="F1" t="inlineStr">
        <is>
          <t>Total</t>
        </is>
      </c>
      <c r="G1" t="inlineStr">
        <is>
          <t>Payment Type</t>
        </is>
      </c>
      <c r="H1" t="inlineStr">
        <is>
          <t>Paid</t>
        </is>
      </c>
      <c r="I1" t="inlineStr">
        <is>
          <t>Received</t>
        </is>
      </c>
      <c r="J1" t="inlineStr">
        <is>
          <t>Balance</t>
        </is>
      </c>
      <c r="K1" t="inlineStr">
        <is>
          <t>Due Date</t>
        </is>
      </c>
      <c r="L1" t="inlineStr">
        <is>
          <t>Status</t>
        </is>
      </c>
      <c r="M1" t="inlineStr">
        <is>
          <t>Description</t>
        </is>
      </c>
    </row>
    <row r="2">
      <c r="A2" t="inlineStr">
        <is>
          <t>02/04/2025</t>
        </is>
      </c>
      <c r="B2" t="inlineStr"/>
      <c r="C2" t="inlineStr">
        <is>
          <t>AMMAN AGENCIES-Namakkal</t>
        </is>
      </c>
      <c r="D2" t="inlineStr"/>
      <c r="E2" t="inlineStr">
        <is>
          <t>Payment</t>
        </is>
      </c>
      <c r="F2" t="n">
        <v>31500</v>
      </c>
      <c r="G2" t="inlineStr">
        <is>
          <t>HDFC Bank (HDFCN52025040254152152)</t>
        </is>
      </c>
      <c r="H2" t="n">
        <v>31500</v>
      </c>
      <c r="I2" t="inlineStr"/>
      <c r="J2" t="inlineStr"/>
      <c r="K2" t="inlineStr"/>
      <c r="L2" t="inlineStr">
        <is>
          <t>Used</t>
        </is>
      </c>
      <c r="M2" t="inlineStr">
        <is>
          <t>NEFT Dr-CIUB0000159-AMMAN AGENCIES-NETBANK, MUM-HDFCN52025040254152152-Return amount
Ref Num: HDFCN52025040254152152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MC USER</dc:creator>
  <dcterms:created xmlns:dcterms="http://purl.org/dc/terms/" xmlns:xsi="http://www.w3.org/2001/XMLSchema-instance" xsi:type="dcterms:W3CDTF">2026-06-12T11:44:38Z</dcterms:created>
  <dcterms:modified xmlns:dcterms="http://purl.org/dc/terms/" xmlns:xsi="http://www.w3.org/2001/XMLSchema-instance" xsi:type="dcterms:W3CDTF">2026-10-05T20:09:24Z</dcterms:modified>
  <cp:lastModifiedBy>MC USER</cp:lastModifiedBy>
</cp:coreProperties>
</file>